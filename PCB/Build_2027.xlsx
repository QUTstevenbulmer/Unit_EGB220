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Repos\QUTstevenbulmer\Unit_EGB220\PCB\"/>
    </mc:Choice>
  </mc:AlternateContent>
  <xr:revisionPtr revIDLastSave="0" documentId="13_ncr:1_{EF8B6FD4-638D-4815-B438-CF67193189EA}" xr6:coauthVersionLast="47" xr6:coauthVersionMax="47" xr10:uidLastSave="{00000000-0000-0000-0000-000000000000}"/>
  <bookViews>
    <workbookView xWindow="-120" yWindow="-120" windowWidth="29040" windowHeight="15720" xr2:uid="{EE1CEB4E-5DC4-4AEE-A762-D263ECD2BF91}"/>
  </bookViews>
  <sheets>
    <sheet name="Config" sheetId="2" r:id="rId1"/>
    <sheet name="Build_2027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2" l="1"/>
  <c r="L9" i="2"/>
  <c r="Q28" i="1"/>
  <c r="P28" i="1"/>
  <c r="Q15" i="1"/>
  <c r="P27" i="1"/>
  <c r="Q27" i="1"/>
  <c r="P15" i="1"/>
  <c r="V15" i="1"/>
  <c r="U15" i="1"/>
  <c r="U4" i="1"/>
  <c r="V4" i="1"/>
  <c r="U5" i="1"/>
  <c r="V5" i="1"/>
  <c r="U6" i="1"/>
  <c r="V6" i="1"/>
  <c r="U7" i="1"/>
  <c r="V7" i="1"/>
  <c r="U8" i="1"/>
  <c r="V8" i="1"/>
  <c r="U9" i="1"/>
  <c r="V9" i="1"/>
  <c r="U10" i="1"/>
  <c r="V10" i="1"/>
  <c r="U11" i="1"/>
  <c r="V11" i="1"/>
  <c r="U12" i="1"/>
  <c r="V12" i="1"/>
  <c r="U13" i="1"/>
  <c r="V13" i="1"/>
  <c r="U14" i="1"/>
  <c r="V14" i="1"/>
  <c r="U16" i="1"/>
  <c r="V16" i="1"/>
  <c r="U17" i="1"/>
  <c r="V17" i="1"/>
  <c r="U18" i="1"/>
  <c r="V18" i="1"/>
  <c r="U19" i="1"/>
  <c r="V19" i="1"/>
  <c r="U20" i="1"/>
  <c r="V20" i="1"/>
  <c r="U21" i="1"/>
  <c r="V21" i="1"/>
  <c r="U22" i="1"/>
  <c r="V22" i="1"/>
  <c r="U23" i="1"/>
  <c r="V23" i="1"/>
  <c r="U24" i="1"/>
  <c r="V24" i="1"/>
  <c r="U25" i="1"/>
  <c r="V25" i="1"/>
  <c r="U26" i="1"/>
  <c r="V26" i="1"/>
  <c r="U27" i="1"/>
  <c r="V27" i="1"/>
  <c r="U28" i="1"/>
  <c r="V28" i="1"/>
  <c r="V3" i="1"/>
  <c r="U3" i="1"/>
  <c r="P9" i="2"/>
  <c r="R9" i="2"/>
  <c r="Q22" i="1"/>
  <c r="Q23" i="1"/>
  <c r="Q24" i="1"/>
  <c r="Q25" i="1"/>
  <c r="Q26" i="1"/>
  <c r="Q4" i="1"/>
  <c r="Q5" i="1"/>
  <c r="Q6" i="1"/>
  <c r="Q7" i="1"/>
  <c r="Q8" i="1"/>
  <c r="Q9" i="1"/>
  <c r="Q10" i="1"/>
  <c r="Q11" i="1"/>
  <c r="Q12" i="1"/>
  <c r="Q13" i="1"/>
  <c r="Q14" i="1"/>
  <c r="Q16" i="1"/>
  <c r="Q17" i="1"/>
  <c r="Q18" i="1"/>
  <c r="Q19" i="1"/>
  <c r="Q20" i="1"/>
  <c r="Q21" i="1"/>
  <c r="Q3" i="1"/>
  <c r="P4" i="1"/>
  <c r="P5" i="1"/>
  <c r="P6" i="1"/>
  <c r="P7" i="1"/>
  <c r="P8" i="1"/>
  <c r="P9" i="1"/>
  <c r="P10" i="1"/>
  <c r="P11" i="1"/>
  <c r="P12" i="1"/>
  <c r="P13" i="1"/>
  <c r="P14" i="1"/>
  <c r="P16" i="1"/>
  <c r="P17" i="1"/>
  <c r="P18" i="1"/>
  <c r="P19" i="1"/>
  <c r="P20" i="1"/>
  <c r="P21" i="1"/>
  <c r="P22" i="1"/>
  <c r="P23" i="1"/>
  <c r="P24" i="1"/>
  <c r="P25" i="1"/>
  <c r="P26" i="1"/>
  <c r="P3" i="1"/>
  <c r="V31" i="1" l="1"/>
  <c r="V34" i="1" s="1"/>
  <c r="U31" i="1"/>
  <c r="U34" i="1" s="1"/>
  <c r="Q31" i="1"/>
  <c r="Q34" i="1" s="1"/>
  <c r="N7" i="2" s="1"/>
  <c r="R7" i="2" s="1"/>
  <c r="R14" i="2" s="1"/>
  <c r="P31" i="1"/>
  <c r="P34" i="1" s="1"/>
  <c r="L7" i="2" s="1"/>
  <c r="P7" i="2" s="1"/>
  <c r="P14" i="2" s="1"/>
</calcChain>
</file>

<file path=xl/sharedStrings.xml><?xml version="1.0" encoding="utf-8"?>
<sst xmlns="http://schemas.openxmlformats.org/spreadsheetml/2006/main" count="224" uniqueCount="169">
  <si>
    <t>Value</t>
  </si>
  <si>
    <t>PN_Manufacturer</t>
  </si>
  <si>
    <t>PN_Digikey</t>
  </si>
  <si>
    <t>PN_LCSC</t>
  </si>
  <si>
    <t>C1,C3,C5,C7,C11,C15</t>
  </si>
  <si>
    <t>10uF</t>
  </si>
  <si>
    <t>C2,C4,C6,C8,C12,C13,C14</t>
  </si>
  <si>
    <t>100nF</t>
  </si>
  <si>
    <t>C9,C10</t>
  </si>
  <si>
    <t>22uF</t>
  </si>
  <si>
    <t>D1,D2</t>
  </si>
  <si>
    <t>SS14HE</t>
  </si>
  <si>
    <t>Onsemi</t>
  </si>
  <si>
    <t>SS14HECT-ND</t>
  </si>
  <si>
    <t>D3</t>
  </si>
  <si>
    <t>SMAJ12A</t>
  </si>
  <si>
    <t>F1</t>
  </si>
  <si>
    <t>Polyfuse 3A</t>
  </si>
  <si>
    <t>F2</t>
  </si>
  <si>
    <t>Polyfuse 500mA</t>
  </si>
  <si>
    <t>J1</t>
  </si>
  <si>
    <t>USB_C_Receptacle_USB2.0</t>
  </si>
  <si>
    <t>J2</t>
  </si>
  <si>
    <t>Conn_01x06</t>
  </si>
  <si>
    <t>J4</t>
  </si>
  <si>
    <t>Conn_01x05</t>
  </si>
  <si>
    <t>J6</t>
  </si>
  <si>
    <t>Conn_01x07</t>
  </si>
  <si>
    <t>J7</t>
  </si>
  <si>
    <t>Conn_01x17</t>
  </si>
  <si>
    <t>L1</t>
  </si>
  <si>
    <t>4.7uH</t>
  </si>
  <si>
    <t>DFE252012F-4R7M=P2</t>
  </si>
  <si>
    <t>490-13051-1-ND</t>
  </si>
  <si>
    <t>Q1</t>
  </si>
  <si>
    <t>AO3407A</t>
  </si>
  <si>
    <t>785-1006-1-ND</t>
  </si>
  <si>
    <t>R1,R2</t>
  </si>
  <si>
    <t>5k1</t>
  </si>
  <si>
    <t>R3,R4,R11,R12</t>
  </si>
  <si>
    <t>10k</t>
  </si>
  <si>
    <t>R5,R6</t>
  </si>
  <si>
    <t>22R</t>
  </si>
  <si>
    <t>SW1</t>
  </si>
  <si>
    <t>RESET</t>
  </si>
  <si>
    <t>R-667995</t>
  </si>
  <si>
    <t>2508-R-667995CT-ND</t>
  </si>
  <si>
    <t>SW2</t>
  </si>
  <si>
    <t>BOOT</t>
  </si>
  <si>
    <t>U1</t>
  </si>
  <si>
    <t>ESP32-S2-SOLO-N4</t>
  </si>
  <si>
    <t>Espressif Systems</t>
  </si>
  <si>
    <t>1965-ESP32-S2-SOLO-N4CT-ND</t>
  </si>
  <si>
    <t>U2</t>
  </si>
  <si>
    <t>USBLC6-2SC6</t>
  </si>
  <si>
    <t>U4</t>
  </si>
  <si>
    <t>TB6612FNG</t>
  </si>
  <si>
    <t>TB6612FNG,C,8,EL</t>
  </si>
  <si>
    <t>TB6612FNGC8ELCT-ND</t>
  </si>
  <si>
    <t>C141517</t>
  </si>
  <si>
    <t>U5</t>
  </si>
  <si>
    <t>AP63203WU</t>
  </si>
  <si>
    <t>Description</t>
  </si>
  <si>
    <t>ESP32 Motor Driver</t>
  </si>
  <si>
    <t>References</t>
  </si>
  <si>
    <t>Quantity</t>
  </si>
  <si>
    <t>ESP32 Motor Driver BOB</t>
  </si>
  <si>
    <t>Manufacturer</t>
  </si>
  <si>
    <t>Capacitor</t>
  </si>
  <si>
    <t>Diode</t>
  </si>
  <si>
    <t>Fuse</t>
  </si>
  <si>
    <t>Connector</t>
  </si>
  <si>
    <t>Inductor</t>
  </si>
  <si>
    <t>MOSFET</t>
  </si>
  <si>
    <t>Resistor</t>
  </si>
  <si>
    <t>Switch</t>
  </si>
  <si>
    <t>Module</t>
  </si>
  <si>
    <t>IC</t>
  </si>
  <si>
    <t>Digikey</t>
  </si>
  <si>
    <t>Price Each</t>
  </si>
  <si>
    <t>LCSC</t>
  </si>
  <si>
    <t>Samsung Electro-Mechanics</t>
  </si>
  <si>
    <t>CL21A106KAYNNNE</t>
  </si>
  <si>
    <t>CL21A226MAQNNNE</t>
  </si>
  <si>
    <t>1276-2891-1-ND</t>
  </si>
  <si>
    <t>Murata</t>
  </si>
  <si>
    <t>GRM155R71H104KE14D</t>
  </si>
  <si>
    <t>490-10700-1-ND</t>
  </si>
  <si>
    <t>1276-2908-1-ND</t>
  </si>
  <si>
    <t>Littelfuse</t>
  </si>
  <si>
    <t>SMAJ12ALFCT-ND</t>
  </si>
  <si>
    <t>C15850</t>
  </si>
  <si>
    <t>C77020</t>
  </si>
  <si>
    <t>C45783</t>
  </si>
  <si>
    <t>C894424</t>
  </si>
  <si>
    <t>C148213</t>
  </si>
  <si>
    <t>Bourns</t>
  </si>
  <si>
    <t>MF-MSMF250/16X-2</t>
  </si>
  <si>
    <t>MF-MSMF250-16X-2CT-ND</t>
  </si>
  <si>
    <t>C210838</t>
  </si>
  <si>
    <t>0805L050WR</t>
  </si>
  <si>
    <t>F2772CT-ND</t>
  </si>
  <si>
    <t>C207022</t>
  </si>
  <si>
    <t>C668313</t>
  </si>
  <si>
    <t>Alpha &amp; Omega Semiconductor</t>
  </si>
  <si>
    <t>C15155</t>
  </si>
  <si>
    <t>Yageo</t>
  </si>
  <si>
    <t>RC0402FR-075K1L</t>
  </si>
  <si>
    <t>311-5.10KLRCT-ND</t>
  </si>
  <si>
    <t>C25905</t>
  </si>
  <si>
    <t>RC0402FR-0710KL</t>
  </si>
  <si>
    <t>311-10.0KLRCT-ND</t>
  </si>
  <si>
    <t>C25744</t>
  </si>
  <si>
    <t>RC0402FR-0722RL</t>
  </si>
  <si>
    <t>311-22.0LRCT-ND</t>
  </si>
  <si>
    <t>C25092</t>
  </si>
  <si>
    <t>Mitsumi</t>
  </si>
  <si>
    <t>C4364645</t>
  </si>
  <si>
    <t>STMicroelectronics</t>
  </si>
  <si>
    <t>497-5235-1-ND</t>
  </si>
  <si>
    <t>C7519</t>
  </si>
  <si>
    <t>Toshiba</t>
  </si>
  <si>
    <t>Diodes Incorporated</t>
  </si>
  <si>
    <t>AP63203WU-7</t>
  </si>
  <si>
    <t>AP63203WU-7DICT-ND</t>
  </si>
  <si>
    <t>C780769</t>
  </si>
  <si>
    <t>Cost_Digikey</t>
  </si>
  <si>
    <t>Cost_LCSC</t>
  </si>
  <si>
    <t>C165948</t>
  </si>
  <si>
    <t>Total</t>
  </si>
  <si>
    <t>Footprint</t>
  </si>
  <si>
    <t>0805</t>
  </si>
  <si>
    <t>0402</t>
  </si>
  <si>
    <t>SOD-323F</t>
  </si>
  <si>
    <t>:D_SMA</t>
  </si>
  <si>
    <t>1812</t>
  </si>
  <si>
    <t>HRO_TYPE-C-31-M-12</t>
  </si>
  <si>
    <t>1x06_P2.54mm_Vertical</t>
  </si>
  <si>
    <t>1x05_P2.54mm_Vertical</t>
  </si>
  <si>
    <t>1x07_P2.54mm_Vertical</t>
  </si>
  <si>
    <t>1x17_P2.54mm_Vertical</t>
  </si>
  <si>
    <t>1008</t>
  </si>
  <si>
    <t>SOT-23</t>
  </si>
  <si>
    <t>SMD STO</t>
  </si>
  <si>
    <t>XCVR_ESP32-S2-SOLO-N4</t>
  </si>
  <si>
    <t>:SOT-23-6</t>
  </si>
  <si>
    <t>SSOP-24_5.3x8.2mm_P0.65mm</t>
  </si>
  <si>
    <t>TSOT-23-6</t>
  </si>
  <si>
    <t>AUD</t>
  </si>
  <si>
    <t>USD</t>
  </si>
  <si>
    <t xml:space="preserve">MotorDriver </t>
  </si>
  <si>
    <t>Quantities</t>
  </si>
  <si>
    <t>MotorDriver BOB</t>
  </si>
  <si>
    <t>1 USD =</t>
  </si>
  <si>
    <t>Bare PCB</t>
  </si>
  <si>
    <t>Assembly</t>
  </si>
  <si>
    <t>Parts</t>
  </si>
  <si>
    <t>Shipping</t>
  </si>
  <si>
    <t>LEDs</t>
  </si>
  <si>
    <t>LDL1117S50R</t>
  </si>
  <si>
    <t>SOT-223-3</t>
  </si>
  <si>
    <t>497-17240-1-ND</t>
  </si>
  <si>
    <t>C970558</t>
  </si>
  <si>
    <t>XT30PW-M30.G.Y</t>
  </si>
  <si>
    <t>Amass</t>
  </si>
  <si>
    <t>XT30</t>
  </si>
  <si>
    <t>AMASS_XT30PW-M</t>
  </si>
  <si>
    <t>C431092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</si>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</sst>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16" fillId="33" borderId="0" xfId="0" applyFont="1" applyFill="1"/>
    <xf numFmtId="0" fontId="0" fillId="33" borderId="0" xfId="0" applyFill="1"/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49" fontId="16" fillId="0" borderId="0" xfId="0" applyNumberFormat="1" applyFont="1"/>
    <xf numFmtId="49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csc.com/product-detail/C970558.html?s_z=n_q_LDL1117S50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8D581-6485-440B-A8A8-75D765E47E0E}">
  <dimension ref="C3:T14"/>
  <sheetViews>
    <sheetView tabSelected="1" workbookViewId="0">
      <selection activeCell="N10" sqref="N10"/>
    </sheetView>
  </sheetViews>
  <sheetFormatPr defaultRowHeight="15" x14ac:dyDescent="0.25"/>
  <cols>
    <col min="3" max="3" width="16.140625" bestFit="1" customWidth="1"/>
    <col min="5" max="5" width="10.42578125" bestFit="1" customWidth="1"/>
    <col min="7" max="9" width="10.7109375" customWidth="1"/>
    <col min="11" max="11" width="5.7109375" style="4" customWidth="1"/>
    <col min="15" max="15" width="5.7109375" style="4" customWidth="1"/>
    <col min="19" max="19" width="5.7109375" style="4" customWidth="1"/>
  </cols>
  <sheetData>
    <row r="3" spans="3:20" x14ac:dyDescent="0.25">
      <c r="C3" t="s">
        <v>153</v>
      </c>
      <c r="D3">
        <v>1.43</v>
      </c>
      <c r="E3" t="s">
        <v>148</v>
      </c>
    </row>
    <row r="4" spans="3:20" x14ac:dyDescent="0.25">
      <c r="K4" s="5"/>
      <c r="L4" s="6" t="s">
        <v>156</v>
      </c>
      <c r="M4" s="6"/>
      <c r="N4" s="6"/>
      <c r="O4" s="5"/>
      <c r="P4" s="6" t="s">
        <v>129</v>
      </c>
      <c r="Q4" s="6"/>
      <c r="R4" s="6"/>
    </row>
    <row r="5" spans="3:20" x14ac:dyDescent="0.25">
      <c r="E5" s="1" t="s">
        <v>151</v>
      </c>
      <c r="F5" s="1"/>
      <c r="G5" s="1" t="s">
        <v>154</v>
      </c>
      <c r="H5" s="1" t="s">
        <v>155</v>
      </c>
      <c r="I5" s="1" t="s">
        <v>157</v>
      </c>
      <c r="K5" s="5"/>
      <c r="L5" s="2" t="s">
        <v>78</v>
      </c>
      <c r="M5" s="2"/>
      <c r="N5" s="2" t="s">
        <v>80</v>
      </c>
      <c r="O5" s="5"/>
      <c r="P5" s="2" t="s">
        <v>78</v>
      </c>
      <c r="Q5" s="2"/>
      <c r="R5" s="2" t="s">
        <v>80</v>
      </c>
    </row>
    <row r="7" spans="3:20" x14ac:dyDescent="0.25">
      <c r="C7" s="1" t="s">
        <v>150</v>
      </c>
      <c r="E7">
        <v>350</v>
      </c>
      <c r="G7">
        <v>6</v>
      </c>
      <c r="H7">
        <v>9</v>
      </c>
      <c r="I7">
        <v>2</v>
      </c>
      <c r="L7">
        <f>Build_2027!P34</f>
        <v>11.724099999999998</v>
      </c>
      <c r="N7">
        <f>Build_2027!Q34</f>
        <v>6.3027249999999997</v>
      </c>
      <c r="P7">
        <f>E7*(L7+SUM(G7:I7))</f>
        <v>10053.434999999999</v>
      </c>
      <c r="R7">
        <f>E7*(N7+SUM(G7:I7))</f>
        <v>8155.9537499999997</v>
      </c>
    </row>
    <row r="9" spans="3:20" x14ac:dyDescent="0.25">
      <c r="C9" s="1" t="s">
        <v>152</v>
      </c>
      <c r="E9">
        <v>100</v>
      </c>
      <c r="G9">
        <v>6</v>
      </c>
      <c r="H9">
        <v>9</v>
      </c>
      <c r="I9">
        <v>2</v>
      </c>
      <c r="L9">
        <f>Build_2027!U31</f>
        <v>0.97040000000000004</v>
      </c>
      <c r="N9">
        <f>Build_2027!V31</f>
        <v>0.8052999999999999</v>
      </c>
      <c r="P9">
        <f>E9*(L9+SUM(G9:I9))</f>
        <v>1797.0400000000002</v>
      </c>
      <c r="R9">
        <f>E9*(N9+SUM(G9:I9))</f>
        <v>1780.53</v>
      </c>
    </row>
    <row r="14" spans="3:20" x14ac:dyDescent="0.25">
      <c r="P14" s="1">
        <f>SUM(P7:P13)</f>
        <v>11850.475</v>
      </c>
      <c r="Q14" s="1"/>
      <c r="R14" s="1">
        <f>SUM(R7:R13)</f>
        <v>9936.4837499999994</v>
      </c>
      <c r="S14" s="3"/>
      <c r="T14" s="1" t="s">
        <v>168</v>
      </c>
    </row>
  </sheetData>
  <mergeCells count="2">
    <mergeCell ref="L4:N4"/>
    <mergeCell ref="P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4EF7D-5CDD-496C-8E45-FA566D946272}">
  <dimension ref="B1:W35"/>
  <sheetViews>
    <sheetView workbookViewId="0">
      <pane xSplit="6" topLeftCell="N1" activePane="topRight" state="frozen"/>
      <selection pane="topRight" activeCell="U34" sqref="U34"/>
    </sheetView>
  </sheetViews>
  <sheetFormatPr defaultRowHeight="15" x14ac:dyDescent="0.25"/>
  <cols>
    <col min="2" max="2" width="22.85546875" bestFit="1" customWidth="1"/>
    <col min="3" max="3" width="24.140625" bestFit="1" customWidth="1"/>
    <col min="4" max="4" width="28.140625" style="8" bestFit="1" customWidth="1"/>
    <col min="5" max="5" width="24.140625" bestFit="1" customWidth="1"/>
    <col min="6" max="6" width="24" customWidth="1"/>
    <col min="7" max="7" width="5.7109375" style="4" customWidth="1"/>
    <col min="8" max="8" width="28.28515625" bestFit="1" customWidth="1"/>
    <col min="9" max="9" width="24" customWidth="1"/>
    <col min="10" max="10" width="5.7109375" style="4" customWidth="1"/>
    <col min="11" max="11" width="24" customWidth="1"/>
    <col min="12" max="12" width="16.7109375" bestFit="1" customWidth="1"/>
    <col min="13" max="13" width="5.7109375" style="4" customWidth="1"/>
    <col min="14" max="14" width="30.7109375" customWidth="1"/>
    <col min="15" max="15" width="10.7109375" customWidth="1"/>
    <col min="16" max="17" width="13.7109375" customWidth="1"/>
    <col min="18" max="18" width="5.7109375" style="4" customWidth="1"/>
    <col min="19" max="19" width="30.7109375" customWidth="1"/>
    <col min="20" max="20" width="10.7109375" customWidth="1"/>
    <col min="21" max="22" width="13.7109375" customWidth="1"/>
    <col min="23" max="23" width="5.7109375" style="4" customWidth="1"/>
  </cols>
  <sheetData>
    <row r="1" spans="2:23" s="1" customFormat="1" x14ac:dyDescent="0.25">
      <c r="D1" s="7"/>
      <c r="G1" s="3"/>
      <c r="H1" s="6" t="s">
        <v>78</v>
      </c>
      <c r="I1" s="6"/>
      <c r="J1" s="5"/>
      <c r="K1" s="6" t="s">
        <v>80</v>
      </c>
      <c r="L1" s="6"/>
      <c r="M1" s="3"/>
      <c r="N1" s="6" t="s">
        <v>63</v>
      </c>
      <c r="O1" s="6"/>
      <c r="P1" s="6"/>
      <c r="Q1" s="6"/>
      <c r="R1" s="3"/>
      <c r="S1" s="6" t="s">
        <v>66</v>
      </c>
      <c r="T1" s="6"/>
      <c r="U1" s="2"/>
      <c r="W1" s="3"/>
    </row>
    <row r="2" spans="2:23" s="1" customFormat="1" x14ac:dyDescent="0.25">
      <c r="B2" s="1" t="s">
        <v>62</v>
      </c>
      <c r="C2" s="1" t="s">
        <v>0</v>
      </c>
      <c r="D2" s="7" t="s">
        <v>130</v>
      </c>
      <c r="E2" s="1" t="s">
        <v>67</v>
      </c>
      <c r="F2" s="1" t="s">
        <v>1</v>
      </c>
      <c r="G2" s="3"/>
      <c r="H2" s="1" t="s">
        <v>2</v>
      </c>
      <c r="I2" s="1" t="s">
        <v>79</v>
      </c>
      <c r="J2" s="3"/>
      <c r="K2" s="1" t="s">
        <v>3</v>
      </c>
      <c r="L2" s="1" t="s">
        <v>79</v>
      </c>
      <c r="M2" s="3"/>
      <c r="N2" s="1" t="s">
        <v>64</v>
      </c>
      <c r="O2" s="1" t="s">
        <v>65</v>
      </c>
      <c r="P2" s="1" t="s">
        <v>126</v>
      </c>
      <c r="Q2" s="1" t="s">
        <v>127</v>
      </c>
      <c r="R2" s="3"/>
      <c r="S2" s="1" t="s">
        <v>64</v>
      </c>
      <c r="T2" s="1" t="s">
        <v>65</v>
      </c>
      <c r="U2" s="1" t="s">
        <v>126</v>
      </c>
      <c r="V2" s="1" t="s">
        <v>127</v>
      </c>
      <c r="W2" s="3"/>
    </row>
    <row r="3" spans="2:23" x14ac:dyDescent="0.25">
      <c r="B3" t="s">
        <v>68</v>
      </c>
      <c r="C3" t="s">
        <v>5</v>
      </c>
      <c r="D3" s="8" t="s">
        <v>131</v>
      </c>
      <c r="E3" t="s">
        <v>81</v>
      </c>
      <c r="F3" t="s">
        <v>82</v>
      </c>
      <c r="H3" t="s">
        <v>84</v>
      </c>
      <c r="I3">
        <v>0.11119999999999999</v>
      </c>
      <c r="K3" t="s">
        <v>91</v>
      </c>
      <c r="L3">
        <v>6.9500000000000006E-2</v>
      </c>
      <c r="N3" t="s">
        <v>4</v>
      </c>
      <c r="O3">
        <v>6</v>
      </c>
      <c r="P3">
        <f>O3*I3</f>
        <v>0.66720000000000002</v>
      </c>
      <c r="Q3">
        <f>O3*L3</f>
        <v>0.41700000000000004</v>
      </c>
      <c r="T3">
        <v>3</v>
      </c>
      <c r="U3">
        <f>T3*I3</f>
        <v>0.33360000000000001</v>
      </c>
      <c r="V3">
        <f>T3*L3</f>
        <v>0.20850000000000002</v>
      </c>
    </row>
    <row r="4" spans="2:23" x14ac:dyDescent="0.25">
      <c r="B4" t="s">
        <v>68</v>
      </c>
      <c r="C4" t="s">
        <v>7</v>
      </c>
      <c r="D4" s="8" t="s">
        <v>132</v>
      </c>
      <c r="E4" t="s">
        <v>85</v>
      </c>
      <c r="F4" t="s">
        <v>86</v>
      </c>
      <c r="H4" t="s">
        <v>87</v>
      </c>
      <c r="I4">
        <v>2.0799999999999999E-2</v>
      </c>
      <c r="K4" t="s">
        <v>92</v>
      </c>
      <c r="L4">
        <v>9.1000000000000004E-3</v>
      </c>
      <c r="N4" t="s">
        <v>6</v>
      </c>
      <c r="O4">
        <v>7</v>
      </c>
      <c r="P4">
        <f t="shared" ref="P4:P27" si="0">O4*I4</f>
        <v>0.14560000000000001</v>
      </c>
      <c r="Q4">
        <f t="shared" ref="Q4:Q27" si="1">O4*L4</f>
        <v>6.3700000000000007E-2</v>
      </c>
      <c r="T4">
        <v>3</v>
      </c>
      <c r="U4">
        <f t="shared" ref="U4:U28" si="2">T4*I4</f>
        <v>6.2399999999999997E-2</v>
      </c>
      <c r="V4">
        <f t="shared" ref="V4:V28" si="3">T4*L4</f>
        <v>2.7300000000000001E-2</v>
      </c>
    </row>
    <row r="5" spans="2:23" x14ac:dyDescent="0.25">
      <c r="B5" t="s">
        <v>68</v>
      </c>
      <c r="C5" t="s">
        <v>9</v>
      </c>
      <c r="D5" s="8" t="s">
        <v>131</v>
      </c>
      <c r="E5" t="s">
        <v>81</v>
      </c>
      <c r="F5" t="s">
        <v>83</v>
      </c>
      <c r="H5" t="s">
        <v>88</v>
      </c>
      <c r="I5">
        <v>0.31</v>
      </c>
      <c r="K5" t="s">
        <v>93</v>
      </c>
      <c r="L5">
        <v>0.2394</v>
      </c>
      <c r="N5" t="s">
        <v>8</v>
      </c>
      <c r="O5">
        <v>2</v>
      </c>
      <c r="P5">
        <f t="shared" si="0"/>
        <v>0.62</v>
      </c>
      <c r="Q5">
        <f t="shared" si="1"/>
        <v>0.4788</v>
      </c>
      <c r="U5">
        <f t="shared" si="2"/>
        <v>0</v>
      </c>
      <c r="V5">
        <f t="shared" si="3"/>
        <v>0</v>
      </c>
    </row>
    <row r="6" spans="2:23" x14ac:dyDescent="0.25">
      <c r="B6" t="s">
        <v>69</v>
      </c>
      <c r="C6" t="s">
        <v>11</v>
      </c>
      <c r="D6" s="8" t="s">
        <v>133</v>
      </c>
      <c r="E6" t="s">
        <v>12</v>
      </c>
      <c r="F6" t="s">
        <v>11</v>
      </c>
      <c r="H6" t="s">
        <v>13</v>
      </c>
      <c r="I6">
        <v>0.33579999999999999</v>
      </c>
      <c r="K6" t="s">
        <v>94</v>
      </c>
      <c r="L6">
        <v>0.1724</v>
      </c>
      <c r="N6" t="s">
        <v>10</v>
      </c>
      <c r="O6">
        <v>2</v>
      </c>
      <c r="P6">
        <f t="shared" si="0"/>
        <v>0.67159999999999997</v>
      </c>
      <c r="Q6">
        <f t="shared" si="1"/>
        <v>0.3448</v>
      </c>
      <c r="U6">
        <f t="shared" si="2"/>
        <v>0</v>
      </c>
      <c r="V6">
        <f t="shared" si="3"/>
        <v>0</v>
      </c>
    </row>
    <row r="7" spans="2:23" x14ac:dyDescent="0.25">
      <c r="B7" t="s">
        <v>69</v>
      </c>
      <c r="C7" t="s">
        <v>15</v>
      </c>
      <c r="D7" s="8" t="s">
        <v>134</v>
      </c>
      <c r="E7" t="s">
        <v>89</v>
      </c>
      <c r="F7" t="s">
        <v>15</v>
      </c>
      <c r="H7" t="s">
        <v>90</v>
      </c>
      <c r="I7">
        <v>0.28000000000000003</v>
      </c>
      <c r="K7" t="s">
        <v>95</v>
      </c>
      <c r="L7">
        <v>8.8999999999999996E-2</v>
      </c>
      <c r="N7" t="s">
        <v>14</v>
      </c>
      <c r="O7">
        <v>1</v>
      </c>
      <c r="P7">
        <f t="shared" si="0"/>
        <v>0.28000000000000003</v>
      </c>
      <c r="Q7">
        <f t="shared" si="1"/>
        <v>8.8999999999999996E-2</v>
      </c>
      <c r="U7">
        <f t="shared" si="2"/>
        <v>0</v>
      </c>
      <c r="V7">
        <f t="shared" si="3"/>
        <v>0</v>
      </c>
    </row>
    <row r="8" spans="2:23" x14ac:dyDescent="0.25">
      <c r="B8" t="s">
        <v>70</v>
      </c>
      <c r="C8" t="s">
        <v>17</v>
      </c>
      <c r="D8" s="8" t="s">
        <v>135</v>
      </c>
      <c r="E8" t="s">
        <v>96</v>
      </c>
      <c r="F8" t="s">
        <v>97</v>
      </c>
      <c r="H8" t="s">
        <v>98</v>
      </c>
      <c r="I8">
        <v>0.54469999999999996</v>
      </c>
      <c r="K8" t="s">
        <v>99</v>
      </c>
      <c r="L8">
        <v>0.15570000000000001</v>
      </c>
      <c r="N8" t="s">
        <v>16</v>
      </c>
      <c r="O8">
        <v>1</v>
      </c>
      <c r="P8">
        <f t="shared" si="0"/>
        <v>0.54469999999999996</v>
      </c>
      <c r="Q8">
        <f t="shared" si="1"/>
        <v>0.15570000000000001</v>
      </c>
      <c r="U8">
        <f t="shared" si="2"/>
        <v>0</v>
      </c>
      <c r="V8">
        <f t="shared" si="3"/>
        <v>0</v>
      </c>
    </row>
    <row r="9" spans="2:23" x14ac:dyDescent="0.25">
      <c r="B9" t="s">
        <v>70</v>
      </c>
      <c r="C9" t="s">
        <v>19</v>
      </c>
      <c r="D9" s="8" t="s">
        <v>131</v>
      </c>
      <c r="E9" t="s">
        <v>89</v>
      </c>
      <c r="F9" t="s">
        <v>100</v>
      </c>
      <c r="H9" t="s">
        <v>101</v>
      </c>
      <c r="I9">
        <v>0.55600000000000005</v>
      </c>
      <c r="K9" t="s">
        <v>102</v>
      </c>
      <c r="L9">
        <v>9.2399999999999996E-2</v>
      </c>
      <c r="N9" t="s">
        <v>18</v>
      </c>
      <c r="O9">
        <v>1</v>
      </c>
      <c r="P9">
        <f t="shared" si="0"/>
        <v>0.55600000000000005</v>
      </c>
      <c r="Q9">
        <f t="shared" si="1"/>
        <v>9.2399999999999996E-2</v>
      </c>
      <c r="U9">
        <f t="shared" si="2"/>
        <v>0</v>
      </c>
      <c r="V9">
        <f t="shared" si="3"/>
        <v>0</v>
      </c>
    </row>
    <row r="10" spans="2:23" x14ac:dyDescent="0.25">
      <c r="B10" t="s">
        <v>71</v>
      </c>
      <c r="C10" t="s">
        <v>21</v>
      </c>
      <c r="D10" s="8" t="s">
        <v>136</v>
      </c>
      <c r="K10" t="s">
        <v>128</v>
      </c>
      <c r="L10">
        <v>0.14829999999999999</v>
      </c>
      <c r="N10" t="s">
        <v>20</v>
      </c>
      <c r="O10">
        <v>1</v>
      </c>
      <c r="P10">
        <f t="shared" si="0"/>
        <v>0</v>
      </c>
      <c r="Q10">
        <f t="shared" si="1"/>
        <v>0.14829999999999999</v>
      </c>
      <c r="U10">
        <f t="shared" si="2"/>
        <v>0</v>
      </c>
      <c r="V10">
        <f t="shared" si="3"/>
        <v>0</v>
      </c>
    </row>
    <row r="11" spans="2:23" x14ac:dyDescent="0.25">
      <c r="B11" t="s">
        <v>71</v>
      </c>
      <c r="C11" t="s">
        <v>23</v>
      </c>
      <c r="D11" s="8" t="s">
        <v>137</v>
      </c>
      <c r="N11" t="s">
        <v>22</v>
      </c>
      <c r="O11">
        <v>1</v>
      </c>
      <c r="P11">
        <f t="shared" si="0"/>
        <v>0</v>
      </c>
      <c r="Q11">
        <f t="shared" si="1"/>
        <v>0</v>
      </c>
      <c r="U11">
        <f t="shared" si="2"/>
        <v>0</v>
      </c>
      <c r="V11">
        <f t="shared" si="3"/>
        <v>0</v>
      </c>
    </row>
    <row r="12" spans="2:23" x14ac:dyDescent="0.25">
      <c r="B12" t="s">
        <v>71</v>
      </c>
      <c r="C12" t="s">
        <v>25</v>
      </c>
      <c r="D12" s="8" t="s">
        <v>138</v>
      </c>
      <c r="N12" t="s">
        <v>24</v>
      </c>
      <c r="O12">
        <v>1</v>
      </c>
      <c r="P12">
        <f t="shared" si="0"/>
        <v>0</v>
      </c>
      <c r="Q12">
        <f t="shared" si="1"/>
        <v>0</v>
      </c>
      <c r="U12">
        <f t="shared" si="2"/>
        <v>0</v>
      </c>
      <c r="V12">
        <f t="shared" si="3"/>
        <v>0</v>
      </c>
    </row>
    <row r="13" spans="2:23" x14ac:dyDescent="0.25">
      <c r="B13" t="s">
        <v>71</v>
      </c>
      <c r="C13" t="s">
        <v>27</v>
      </c>
      <c r="D13" s="8" t="s">
        <v>139</v>
      </c>
      <c r="N13" t="s">
        <v>26</v>
      </c>
      <c r="O13">
        <v>1</v>
      </c>
      <c r="P13">
        <f t="shared" si="0"/>
        <v>0</v>
      </c>
      <c r="Q13">
        <f t="shared" si="1"/>
        <v>0</v>
      </c>
      <c r="U13">
        <f t="shared" si="2"/>
        <v>0</v>
      </c>
      <c r="V13">
        <f t="shared" si="3"/>
        <v>0</v>
      </c>
    </row>
    <row r="14" spans="2:23" x14ac:dyDescent="0.25">
      <c r="B14" t="s">
        <v>71</v>
      </c>
      <c r="C14" t="s">
        <v>29</v>
      </c>
      <c r="D14" s="8" t="s">
        <v>140</v>
      </c>
      <c r="N14" t="s">
        <v>28</v>
      </c>
      <c r="O14">
        <v>1</v>
      </c>
      <c r="P14">
        <f t="shared" si="0"/>
        <v>0</v>
      </c>
      <c r="Q14">
        <f t="shared" si="1"/>
        <v>0</v>
      </c>
      <c r="U14">
        <f t="shared" si="2"/>
        <v>0</v>
      </c>
      <c r="V14">
        <f t="shared" si="3"/>
        <v>0</v>
      </c>
    </row>
    <row r="15" spans="2:23" x14ac:dyDescent="0.25">
      <c r="B15" t="s">
        <v>71</v>
      </c>
      <c r="C15" t="s">
        <v>165</v>
      </c>
      <c r="D15" s="8" t="s">
        <v>166</v>
      </c>
      <c r="E15" t="s">
        <v>164</v>
      </c>
      <c r="F15" t="s">
        <v>163</v>
      </c>
      <c r="K15" t="s">
        <v>167</v>
      </c>
      <c r="L15">
        <v>0.25769999999999998</v>
      </c>
      <c r="O15">
        <v>0</v>
      </c>
      <c r="P15">
        <f t="shared" si="0"/>
        <v>0</v>
      </c>
      <c r="Q15">
        <f t="shared" si="1"/>
        <v>0</v>
      </c>
      <c r="T15">
        <v>1</v>
      </c>
      <c r="U15">
        <f t="shared" si="2"/>
        <v>0</v>
      </c>
      <c r="V15">
        <f t="shared" si="3"/>
        <v>0.25769999999999998</v>
      </c>
    </row>
    <row r="16" spans="2:23" x14ac:dyDescent="0.25">
      <c r="B16" t="s">
        <v>72</v>
      </c>
      <c r="C16" t="s">
        <v>31</v>
      </c>
      <c r="D16" s="8" t="s">
        <v>141</v>
      </c>
      <c r="E16" t="s">
        <v>85</v>
      </c>
      <c r="F16" t="s">
        <v>32</v>
      </c>
      <c r="H16" t="s">
        <v>33</v>
      </c>
      <c r="I16">
        <v>0.2641</v>
      </c>
      <c r="K16" t="s">
        <v>103</v>
      </c>
      <c r="L16">
        <v>0.1177</v>
      </c>
      <c r="N16" t="s">
        <v>30</v>
      </c>
      <c r="O16">
        <v>1</v>
      </c>
      <c r="P16">
        <f t="shared" si="0"/>
        <v>0.2641</v>
      </c>
      <c r="Q16">
        <f t="shared" si="1"/>
        <v>0.1177</v>
      </c>
      <c r="U16">
        <f t="shared" si="2"/>
        <v>0</v>
      </c>
      <c r="V16">
        <f t="shared" si="3"/>
        <v>0</v>
      </c>
    </row>
    <row r="17" spans="2:22" x14ac:dyDescent="0.25">
      <c r="B17" t="s">
        <v>73</v>
      </c>
      <c r="C17" t="s">
        <v>35</v>
      </c>
      <c r="D17" s="8" t="s">
        <v>142</v>
      </c>
      <c r="E17" t="s">
        <v>104</v>
      </c>
      <c r="F17" t="s">
        <v>35</v>
      </c>
      <c r="H17" t="s">
        <v>36</v>
      </c>
      <c r="I17">
        <v>0.29749999999999999</v>
      </c>
      <c r="K17" t="s">
        <v>105</v>
      </c>
      <c r="L17">
        <v>7.8200000000000006E-2</v>
      </c>
      <c r="N17" t="s">
        <v>34</v>
      </c>
      <c r="O17">
        <v>1</v>
      </c>
      <c r="P17">
        <f t="shared" si="0"/>
        <v>0.29749999999999999</v>
      </c>
      <c r="Q17">
        <f t="shared" si="1"/>
        <v>7.8200000000000006E-2</v>
      </c>
      <c r="T17">
        <v>1</v>
      </c>
      <c r="U17">
        <f t="shared" si="2"/>
        <v>0.29749999999999999</v>
      </c>
      <c r="V17">
        <f t="shared" si="3"/>
        <v>7.8200000000000006E-2</v>
      </c>
    </row>
    <row r="18" spans="2:22" x14ac:dyDescent="0.25">
      <c r="B18" t="s">
        <v>74</v>
      </c>
      <c r="C18" t="s">
        <v>38</v>
      </c>
      <c r="D18" s="8" t="s">
        <v>132</v>
      </c>
      <c r="E18" t="s">
        <v>106</v>
      </c>
      <c r="F18" t="s">
        <v>107</v>
      </c>
      <c r="H18" t="s">
        <v>108</v>
      </c>
      <c r="I18">
        <v>1.41E-2</v>
      </c>
      <c r="K18" t="s">
        <v>109</v>
      </c>
      <c r="L18">
        <v>2.3999999999999998E-3</v>
      </c>
      <c r="N18" t="s">
        <v>37</v>
      </c>
      <c r="O18">
        <v>2</v>
      </c>
      <c r="P18">
        <f t="shared" si="0"/>
        <v>2.8199999999999999E-2</v>
      </c>
      <c r="Q18">
        <f t="shared" si="1"/>
        <v>4.7999999999999996E-3</v>
      </c>
      <c r="U18">
        <f t="shared" si="2"/>
        <v>0</v>
      </c>
      <c r="V18">
        <f t="shared" si="3"/>
        <v>0</v>
      </c>
    </row>
    <row r="19" spans="2:22" x14ac:dyDescent="0.25">
      <c r="B19" t="s">
        <v>74</v>
      </c>
      <c r="C19" t="s">
        <v>40</v>
      </c>
      <c r="D19" s="8" t="s">
        <v>132</v>
      </c>
      <c r="E19" t="s">
        <v>106</v>
      </c>
      <c r="F19" t="s">
        <v>110</v>
      </c>
      <c r="H19" t="s">
        <v>111</v>
      </c>
      <c r="I19">
        <v>1.41E-2</v>
      </c>
      <c r="K19" t="s">
        <v>112</v>
      </c>
      <c r="L19">
        <v>3.3999999999999998E-3</v>
      </c>
      <c r="N19" t="s">
        <v>39</v>
      </c>
      <c r="O19">
        <v>4</v>
      </c>
      <c r="P19">
        <f t="shared" si="0"/>
        <v>5.6399999999999999E-2</v>
      </c>
      <c r="Q19">
        <f t="shared" si="1"/>
        <v>1.3599999999999999E-2</v>
      </c>
      <c r="T19">
        <v>4</v>
      </c>
      <c r="U19">
        <f t="shared" si="2"/>
        <v>5.6399999999999999E-2</v>
      </c>
      <c r="V19">
        <f t="shared" si="3"/>
        <v>1.3599999999999999E-2</v>
      </c>
    </row>
    <row r="20" spans="2:22" x14ac:dyDescent="0.25">
      <c r="B20" t="s">
        <v>74</v>
      </c>
      <c r="C20" t="s">
        <v>42</v>
      </c>
      <c r="D20" s="8" t="s">
        <v>132</v>
      </c>
      <c r="E20" t="s">
        <v>106</v>
      </c>
      <c r="F20" t="s">
        <v>113</v>
      </c>
      <c r="H20" t="s">
        <v>114</v>
      </c>
      <c r="I20">
        <v>1.4999999999999999E-2</v>
      </c>
      <c r="K20" t="s">
        <v>115</v>
      </c>
      <c r="L20">
        <v>2.8E-3</v>
      </c>
      <c r="N20" t="s">
        <v>41</v>
      </c>
      <c r="O20">
        <v>2</v>
      </c>
      <c r="P20">
        <f t="shared" si="0"/>
        <v>0.03</v>
      </c>
      <c r="Q20">
        <f t="shared" si="1"/>
        <v>5.5999999999999999E-3</v>
      </c>
      <c r="U20">
        <f t="shared" si="2"/>
        <v>0</v>
      </c>
      <c r="V20">
        <f t="shared" si="3"/>
        <v>0</v>
      </c>
    </row>
    <row r="21" spans="2:22" x14ac:dyDescent="0.25">
      <c r="B21" t="s">
        <v>75</v>
      </c>
      <c r="C21" t="s">
        <v>44</v>
      </c>
      <c r="D21" s="8" t="s">
        <v>143</v>
      </c>
      <c r="E21" t="s">
        <v>116</v>
      </c>
      <c r="F21" t="s">
        <v>45</v>
      </c>
      <c r="H21" t="s">
        <v>46</v>
      </c>
      <c r="I21">
        <v>0.20519999999999999</v>
      </c>
      <c r="K21" t="s">
        <v>117</v>
      </c>
      <c r="L21">
        <v>0.32619999999999999</v>
      </c>
      <c r="N21" t="s">
        <v>43</v>
      </c>
      <c r="O21">
        <v>1</v>
      </c>
      <c r="P21">
        <f t="shared" si="0"/>
        <v>0.20519999999999999</v>
      </c>
      <c r="Q21">
        <f t="shared" si="1"/>
        <v>0.32619999999999999</v>
      </c>
      <c r="U21">
        <f t="shared" si="2"/>
        <v>0</v>
      </c>
      <c r="V21">
        <f t="shared" si="3"/>
        <v>0</v>
      </c>
    </row>
    <row r="22" spans="2:22" x14ac:dyDescent="0.25">
      <c r="B22" t="s">
        <v>75</v>
      </c>
      <c r="C22" t="s">
        <v>48</v>
      </c>
      <c r="D22" s="8" t="s">
        <v>143</v>
      </c>
      <c r="E22" t="s">
        <v>116</v>
      </c>
      <c r="F22" t="s">
        <v>45</v>
      </c>
      <c r="H22" t="s">
        <v>46</v>
      </c>
      <c r="I22">
        <v>0.20519999999999999</v>
      </c>
      <c r="K22" t="s">
        <v>117</v>
      </c>
      <c r="L22">
        <v>0.32619999999999999</v>
      </c>
      <c r="N22" t="s">
        <v>47</v>
      </c>
      <c r="O22">
        <v>1</v>
      </c>
      <c r="P22">
        <f t="shared" si="0"/>
        <v>0.20519999999999999</v>
      </c>
      <c r="Q22">
        <f t="shared" si="1"/>
        <v>0.32619999999999999</v>
      </c>
      <c r="U22">
        <f t="shared" si="2"/>
        <v>0</v>
      </c>
      <c r="V22">
        <f t="shared" si="3"/>
        <v>0</v>
      </c>
    </row>
    <row r="23" spans="2:22" x14ac:dyDescent="0.25">
      <c r="B23" t="s">
        <v>76</v>
      </c>
      <c r="C23" t="s">
        <v>50</v>
      </c>
      <c r="D23" s="8" t="s">
        <v>144</v>
      </c>
      <c r="E23" t="s">
        <v>51</v>
      </c>
      <c r="F23" t="s">
        <v>50</v>
      </c>
      <c r="H23" t="s">
        <v>52</v>
      </c>
      <c r="I23">
        <v>4.3387000000000002</v>
      </c>
      <c r="N23" t="s">
        <v>49</v>
      </c>
      <c r="O23">
        <v>1</v>
      </c>
      <c r="P23">
        <f t="shared" si="0"/>
        <v>4.3387000000000002</v>
      </c>
      <c r="Q23">
        <f t="shared" si="1"/>
        <v>0</v>
      </c>
      <c r="U23">
        <f t="shared" si="2"/>
        <v>0</v>
      </c>
      <c r="V23">
        <f t="shared" si="3"/>
        <v>0</v>
      </c>
    </row>
    <row r="24" spans="2:22" x14ac:dyDescent="0.25">
      <c r="B24" t="s">
        <v>77</v>
      </c>
      <c r="C24" t="s">
        <v>54</v>
      </c>
      <c r="D24" s="8" t="s">
        <v>145</v>
      </c>
      <c r="E24" t="s">
        <v>118</v>
      </c>
      <c r="F24" t="s">
        <v>54</v>
      </c>
      <c r="H24" t="s">
        <v>119</v>
      </c>
      <c r="I24">
        <v>0.30399999999999999</v>
      </c>
      <c r="K24" t="s">
        <v>120</v>
      </c>
      <c r="L24">
        <v>0.13750000000000001</v>
      </c>
      <c r="N24" t="s">
        <v>53</v>
      </c>
      <c r="O24">
        <v>1</v>
      </c>
      <c r="P24">
        <f t="shared" si="0"/>
        <v>0.30399999999999999</v>
      </c>
      <c r="Q24">
        <f t="shared" si="1"/>
        <v>0.13750000000000001</v>
      </c>
      <c r="U24">
        <f t="shared" si="2"/>
        <v>0</v>
      </c>
      <c r="V24">
        <f t="shared" si="3"/>
        <v>0</v>
      </c>
    </row>
    <row r="25" spans="2:22" x14ac:dyDescent="0.25">
      <c r="B25" t="s">
        <v>77</v>
      </c>
      <c r="C25" t="s">
        <v>56</v>
      </c>
      <c r="D25" s="8" t="s">
        <v>146</v>
      </c>
      <c r="E25" t="s">
        <v>121</v>
      </c>
      <c r="F25" t="s">
        <v>57</v>
      </c>
      <c r="H25" t="s">
        <v>58</v>
      </c>
      <c r="I25">
        <v>1.7786</v>
      </c>
      <c r="K25" t="s">
        <v>59</v>
      </c>
      <c r="L25">
        <v>0.75470000000000004</v>
      </c>
      <c r="N25" t="s">
        <v>55</v>
      </c>
      <c r="O25">
        <v>1</v>
      </c>
      <c r="P25">
        <f t="shared" si="0"/>
        <v>1.7786</v>
      </c>
      <c r="Q25">
        <f t="shared" si="1"/>
        <v>0.75470000000000004</v>
      </c>
      <c r="U25">
        <f t="shared" si="2"/>
        <v>0</v>
      </c>
      <c r="V25">
        <f t="shared" si="3"/>
        <v>0</v>
      </c>
    </row>
    <row r="26" spans="2:22" x14ac:dyDescent="0.25">
      <c r="B26" t="s">
        <v>77</v>
      </c>
      <c r="C26" t="s">
        <v>61</v>
      </c>
      <c r="D26" s="8" t="s">
        <v>147</v>
      </c>
      <c r="E26" t="s">
        <v>122</v>
      </c>
      <c r="F26" t="s">
        <v>123</v>
      </c>
      <c r="H26" t="s">
        <v>124</v>
      </c>
      <c r="I26">
        <v>0.73109999999999997</v>
      </c>
      <c r="K26" t="s">
        <v>125</v>
      </c>
      <c r="L26">
        <v>0.85329999999999995</v>
      </c>
      <c r="N26" t="s">
        <v>60</v>
      </c>
      <c r="O26">
        <v>1</v>
      </c>
      <c r="P26">
        <f t="shared" si="0"/>
        <v>0.73109999999999997</v>
      </c>
      <c r="Q26">
        <f t="shared" si="1"/>
        <v>0.85329999999999995</v>
      </c>
      <c r="U26">
        <f t="shared" si="2"/>
        <v>0</v>
      </c>
      <c r="V26">
        <f t="shared" si="3"/>
        <v>0</v>
      </c>
    </row>
    <row r="27" spans="2:22" x14ac:dyDescent="0.25">
      <c r="B27" t="s">
        <v>77</v>
      </c>
      <c r="C27" t="s">
        <v>159</v>
      </c>
      <c r="D27" s="8" t="s">
        <v>160</v>
      </c>
      <c r="E27" t="s">
        <v>118</v>
      </c>
      <c r="F27" t="s">
        <v>159</v>
      </c>
      <c r="H27" t="s">
        <v>161</v>
      </c>
      <c r="I27">
        <v>0.2205</v>
      </c>
      <c r="K27" s="9" t="s">
        <v>162</v>
      </c>
      <c r="L27">
        <v>0.22</v>
      </c>
      <c r="O27">
        <v>0</v>
      </c>
      <c r="P27">
        <f t="shared" si="0"/>
        <v>0</v>
      </c>
      <c r="Q27">
        <f t="shared" si="1"/>
        <v>0</v>
      </c>
      <c r="T27">
        <v>1</v>
      </c>
      <c r="U27">
        <f t="shared" si="2"/>
        <v>0.2205</v>
      </c>
      <c r="V27">
        <f t="shared" si="3"/>
        <v>0.22</v>
      </c>
    </row>
    <row r="28" spans="2:22" x14ac:dyDescent="0.25">
      <c r="B28" t="s">
        <v>158</v>
      </c>
      <c r="O28">
        <v>0</v>
      </c>
      <c r="P28">
        <f t="shared" ref="P28" si="4">O28*I28</f>
        <v>0</v>
      </c>
      <c r="Q28">
        <f t="shared" ref="Q28" si="5">O28*L28</f>
        <v>0</v>
      </c>
      <c r="T28">
        <v>4</v>
      </c>
      <c r="U28">
        <f t="shared" si="2"/>
        <v>0</v>
      </c>
      <c r="V28">
        <f t="shared" si="3"/>
        <v>0</v>
      </c>
    </row>
    <row r="31" spans="2:22" x14ac:dyDescent="0.25">
      <c r="N31" s="1" t="s">
        <v>129</v>
      </c>
      <c r="O31" s="1"/>
      <c r="P31" s="1">
        <f>SUM(P3:P30)</f>
        <v>11.724099999999998</v>
      </c>
      <c r="Q31" s="1">
        <f>SUM(Q3:Q30)</f>
        <v>4.4074999999999998</v>
      </c>
      <c r="R31" s="3"/>
      <c r="S31" s="1" t="s">
        <v>129</v>
      </c>
      <c r="T31" s="1"/>
      <c r="U31" s="1">
        <f>SUM(U3:U30)</f>
        <v>0.97040000000000004</v>
      </c>
      <c r="V31" s="1">
        <f>SUM(V3:V30)</f>
        <v>0.8052999999999999</v>
      </c>
    </row>
    <row r="32" spans="2:22" x14ac:dyDescent="0.25">
      <c r="P32" s="2" t="s">
        <v>148</v>
      </c>
      <c r="Q32" s="2" t="s">
        <v>149</v>
      </c>
      <c r="U32" s="2" t="s">
        <v>148</v>
      </c>
      <c r="V32" s="2" t="s">
        <v>149</v>
      </c>
    </row>
    <row r="34" spans="16:22" x14ac:dyDescent="0.25">
      <c r="P34" s="1">
        <f>P31</f>
        <v>11.724099999999998</v>
      </c>
      <c r="Q34" s="1">
        <f>Q31*Config!D3</f>
        <v>6.3027249999999997</v>
      </c>
      <c r="U34" s="1">
        <f>U31</f>
        <v>0.97040000000000004</v>
      </c>
      <c r="V34" s="1">
        <f>V31*Config!D3</f>
        <v>1.1515789999999999</v>
      </c>
    </row>
    <row r="35" spans="16:22" x14ac:dyDescent="0.25">
      <c r="P35" s="2" t="s">
        <v>148</v>
      </c>
      <c r="Q35" s="2" t="s">
        <v>148</v>
      </c>
      <c r="U35" s="2" t="s">
        <v>148</v>
      </c>
      <c r="V35" s="2" t="s">
        <v>148</v>
      </c>
    </row>
  </sheetData>
  <mergeCells count="4">
    <mergeCell ref="N1:Q1"/>
    <mergeCell ref="S1:T1"/>
    <mergeCell ref="H1:I1"/>
    <mergeCell ref="K1:L1"/>
  </mergeCells>
  <hyperlinks>
    <hyperlink ref="K27" r:id="rId1" tooltip="C970558" display="https://www.lcsc.com/product-detail/C970558.html?s_z=n_q_LDL1117S50R" xr:uid="{16520D64-81AB-4663-8D1B-0F8F06B447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Build_2027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Bulmer</dc:creator>
  <cp:lastModifiedBy>Steven Bulmer</cp:lastModifiedBy>
  <dcterms:created xsi:type="dcterms:W3CDTF">2026-10-12T02:36:00Z</dcterms:created>
  <dcterms:modified xsi:type="dcterms:W3CDTF">2026-10-15T04:37:34Z</dcterms:modified>
</cp:coreProperties>
</file>